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241BD9BB-77B0-483E-8BCC-206F815979AB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KPIs produit" sheetId="1" r:id="rId1"/>
    <sheet name="Hypothèses de coûts" sheetId="2" r:id="rId2"/>
    <sheet name="Hypothèses de revenus" sheetId="3" r:id="rId3"/>
    <sheet name="Calcul de ROI" sheetId="4" r:id="rId4"/>
    <sheet name="Adop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3" l="1"/>
  <c r="D5" i="3"/>
  <c r="B5" i="3"/>
  <c r="D5" i="4"/>
  <c r="C7" i="4"/>
  <c r="B7" i="4"/>
  <c r="C12" i="4"/>
  <c r="D12" i="4"/>
  <c r="B12" i="4"/>
  <c r="B5" i="4"/>
  <c r="C5" i="4"/>
  <c r="C2" i="1"/>
  <c r="B4" i="4"/>
  <c r="B6" i="4" s="1"/>
  <c r="C4" i="4"/>
  <c r="C6" i="4" s="1"/>
  <c r="D4" i="4"/>
  <c r="C2" i="4"/>
  <c r="C3" i="4"/>
  <c r="D3" i="4"/>
  <c r="B3" i="4"/>
  <c r="D2" i="4"/>
  <c r="B2" i="4"/>
  <c r="B2" i="3"/>
  <c r="C2" i="3"/>
  <c r="C3" i="3"/>
  <c r="D3" i="3"/>
  <c r="B3" i="3"/>
  <c r="D2" i="3"/>
  <c r="D6" i="2"/>
  <c r="D7" i="2" s="1"/>
  <c r="C6" i="2"/>
  <c r="C7" i="2" s="1"/>
  <c r="C13" i="4" s="1"/>
  <c r="C14" i="4" s="1"/>
  <c r="B6" i="2"/>
  <c r="B7" i="2" s="1"/>
  <c r="B13" i="4" s="1"/>
  <c r="B14" i="4" s="1"/>
  <c r="D6" i="4" l="1"/>
  <c r="D7" i="4" s="1"/>
  <c r="D13" i="4" s="1"/>
  <c r="D14" i="4" s="1"/>
</calcChain>
</file>

<file path=xl/sharedStrings.xml><?xml version="1.0" encoding="utf-8"?>
<sst xmlns="http://schemas.openxmlformats.org/spreadsheetml/2006/main" count="71" uniqueCount="59">
  <si>
    <t>KPI</t>
  </si>
  <si>
    <t>Definition exacte</t>
  </si>
  <si>
    <t>Cible</t>
  </si>
  <si>
    <t>Scans / jour</t>
  </si>
  <si>
    <t>Nombre total de scans produits reussis, tous utilisateurs confondus, agrege sur 24h.
(En partant du principe que 2 scans par jour par utilisateur soient faits)</t>
  </si>
  <si>
    <t>Taux d'activation (J+7)</t>
  </si>
  <si>
    <t>Part des comptes crees ayant realise &gt;=3 scans ET consulte &gt;=1 fiche substitution, mesuree a J+7</t>
  </si>
  <si>
    <t>Retention à 30 jours</t>
  </si>
  <si>
    <t>Part des utilisateurs actifs a J0 qui reutilisent l'application a J30</t>
  </si>
  <si>
    <t>Taux de substitution acceptee</t>
  </si>
  <si>
    <t>Part des propositions de substitution affichees qui sont acceptees (clic + usage), sur une periode donnee.</t>
  </si>
  <si>
    <t>Cout par requete assistant</t>
  </si>
  <si>
    <t>Cout moyen en tokens LLM d'une conversation assistant = cout total tokens du mois / nb de conversations du mois (cf. onglet Hypotheses_couts).</t>
  </si>
  <si>
    <t>Taux de conversion premium</t>
  </si>
  <si>
    <t>Part des utilisateurs actifs freemium qui souscrivent a l'offre premium, mesuree sur une fenetre glissante de 3 semaines.</t>
  </si>
  <si>
    <t>Conversations avec l'assistant / utilisateur</t>
  </si>
  <si>
    <t>Nombre moyen de conversations avec l'assistant par utilisateur actif et par mois, mesure collectivement (pas de suivi individuel)</t>
  </si>
  <si>
    <t>Hypothèse</t>
  </si>
  <si>
    <t>Scénario pessimiste</t>
  </si>
  <si>
    <t>Scénario central</t>
  </si>
  <si>
    <t>Scénario optimiste</t>
  </si>
  <si>
    <t>Utilisateurs actifs mensuels</t>
  </si>
  <si>
    <t>Nombre d'utilisateurs premium</t>
  </si>
  <si>
    <t>Prix abonnement premium / mois</t>
  </si>
  <si>
    <t>Chiffre d'affaires mensuel</t>
  </si>
  <si>
    <t>Chiffre d'affaires annuel</t>
  </si>
  <si>
    <t>Utilisateurs actifs</t>
  </si>
  <si>
    <t>Utilisateurs premium</t>
  </si>
  <si>
    <t xml:space="preserve">Revenu premium mensuel (EUR) </t>
  </si>
  <si>
    <t>Hypothèse/KPI</t>
  </si>
  <si>
    <t>Hypothèse pessimiste</t>
  </si>
  <si>
    <t>Hypothèse centrale</t>
  </si>
  <si>
    <t>Hypothèse optimiste</t>
  </si>
  <si>
    <t>Prix premium / mois (€)</t>
  </si>
  <si>
    <t>Revenu premium mensuel</t>
  </si>
  <si>
    <t>Revenu annuel</t>
  </si>
  <si>
    <t>Jours-hommes estimés 
(350€ TJM)</t>
  </si>
  <si>
    <t>Coûts développement / an</t>
  </si>
  <si>
    <t>Coûts infra / an</t>
  </si>
  <si>
    <t>Coûts IA / API / an</t>
  </si>
  <si>
    <t>Coûts totaux annuels</t>
  </si>
  <si>
    <t>Résultat annuel</t>
  </si>
  <si>
    <t>ROI</t>
  </si>
  <si>
    <t>Seuil d'alerte</t>
  </si>
  <si>
    <t>Plan de relance</t>
  </si>
  <si>
    <t>Proportion des utilisateurs ayant commencé à utiliser NutriScope 
qui réutilisent l'application 30 jours après leur première utilisation, 
mesurée sur chaque cohorte mensuelle.</t>
  </si>
  <si>
    <t>&lt; 35%</t>
  </si>
  <si>
    <t>Analyser les causes de non-rétention et 
lancer des actions de relance/communication 
sur les fonctionnalités les plus pertinentes.</t>
  </si>
  <si>
    <t>Conversion premium</t>
  </si>
  <si>
    <t>Proportion d'utilisateurs freemium qui souscrivent à l'offre premium,
 mesurée sur une fenêtre glissante de 3 semaines.</t>
  </si>
  <si>
    <t>&lt; 3%</t>
  </si>
  <si>
    <t>Analyser les freins à la conversion, 
recueillir les retours des utilisateurs freemium 
et ajuster la communication et les fonctionnalités de l'offre premium.</t>
  </si>
  <si>
    <t>Substitution acceptée</t>
  </si>
  <si>
    <t>Proportion de propositions de produits de substitution acceptées par les utilisateurs, sur une période donnée.</t>
  </si>
  <si>
    <t>&lt; 15%</t>
  </si>
  <si>
    <t>Analyser les produits de substitution les moins acceptés 
et recueillir les retours des utilisateurs pour améliorer la pertinence des recommandations.</t>
  </si>
  <si>
    <t>Nombre moyen de conversations avec l'assistant par utilisateur actif et par mois, 
mesuré collectivement (pas de suivi individuel).</t>
  </si>
  <si>
    <t>&lt; 1 conversation 
par utilisateur actif 
et par mois</t>
  </si>
  <si>
    <t>Analyser la satisfaction des utilisateurs sur les réponses de l'assistant 
et améliorer les réponses sur les points identifiés comme insatisfaisants.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</si>
</sst>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0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1"/>
      <color theme="1"/>
      <name val="Calibri"/>
      <family val="2"/>
      <scheme val="minor"/>
    </font>
    <font>
      <sz val="10"/>
      <color rgb="FF0000FF"/>
      <name val="Arial"/>
      <charset val="1"/>
    </font>
    <font>
      <b/>
      <sz val="10"/>
      <color rgb="FF000000"/>
      <name val="Arial"/>
    </font>
    <font>
      <b/>
      <sz val="11"/>
      <color rgb="FF000000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164" fontId="0" fillId="0" borderId="0" xfId="0" applyNumberFormat="1"/>
    <xf numFmtId="0" fontId="8" fillId="3" borderId="0" xfId="0" applyFont="1" applyFill="1"/>
    <xf numFmtId="0" fontId="8" fillId="4" borderId="0" xfId="0" applyFont="1" applyFill="1"/>
    <xf numFmtId="0" fontId="8" fillId="5" borderId="0" xfId="0" applyFont="1" applyFill="1"/>
    <xf numFmtId="0" fontId="0" fillId="0" borderId="0" xfId="0" applyAlignment="1">
      <alignment wrapText="1"/>
    </xf>
    <xf numFmtId="8" fontId="9" fillId="0" borderId="0" xfId="0" applyNumberFormat="1" applyFont="1" applyAlignment="1">
      <alignment horizontal="center" wrapText="1"/>
    </xf>
    <xf numFmtId="10" fontId="0" fillId="0" borderId="0" xfId="0" applyNumberFormat="1"/>
    <xf numFmtId="2" fontId="5" fillId="6" borderId="1" xfId="0" applyNumberFormat="1" applyFont="1" applyFill="1" applyBorder="1" applyAlignment="1">
      <alignment horizontal="center"/>
    </xf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8" sqref="D8"/>
    </sheetView>
  </sheetViews>
  <sheetFormatPr defaultRowHeight="15"/>
  <cols>
    <col min="1" max="1" width="23.7109375" customWidth="1"/>
    <col min="2" max="2" width="41.5703125" customWidth="1"/>
    <col min="3" max="3" width="27.42578125" customWidth="1"/>
    <col min="4" max="4" width="41.5703125" customWidth="1"/>
    <col min="5" max="5" width="55.85546875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/>
    </row>
    <row r="2" spans="1:5" ht="65.25" customHeight="1">
      <c r="A2" s="2" t="s">
        <v>3</v>
      </c>
      <c r="B2" s="3" t="s">
        <v>4</v>
      </c>
      <c r="C2" s="5">
        <f>'Hypothèses de coûts'!C2*2</f>
        <v>10000</v>
      </c>
      <c r="D2" s="5"/>
    </row>
    <row r="3" spans="1:5" ht="75.75" customHeight="1">
      <c r="A3" s="2" t="s">
        <v>5</v>
      </c>
      <c r="B3" s="3" t="s">
        <v>6</v>
      </c>
      <c r="C3" s="6">
        <v>0.7</v>
      </c>
      <c r="D3" s="5"/>
    </row>
    <row r="4" spans="1:5" ht="48.75" customHeight="1">
      <c r="A4" s="2" t="s">
        <v>7</v>
      </c>
      <c r="B4" s="3" t="s">
        <v>8</v>
      </c>
      <c r="C4" s="6">
        <v>0.6</v>
      </c>
      <c r="D4" s="5"/>
    </row>
    <row r="5" spans="1:5" ht="58.5" customHeight="1">
      <c r="A5" s="2" t="s">
        <v>9</v>
      </c>
      <c r="B5" s="3" t="s">
        <v>10</v>
      </c>
      <c r="C5" s="6">
        <v>0.4</v>
      </c>
      <c r="D5" s="5"/>
    </row>
    <row r="6" spans="1:5" ht="77.25" customHeight="1">
      <c r="A6" s="2" t="s">
        <v>11</v>
      </c>
      <c r="B6" s="3" t="s">
        <v>12</v>
      </c>
      <c r="C6" s="7">
        <v>0.02</v>
      </c>
      <c r="D6" s="5"/>
    </row>
    <row r="7" spans="1:5" ht="78.75" customHeight="1">
      <c r="A7" s="2" t="s">
        <v>13</v>
      </c>
      <c r="B7" s="3" t="s">
        <v>14</v>
      </c>
      <c r="C7" s="6">
        <v>0.1</v>
      </c>
      <c r="D7" s="5"/>
    </row>
    <row r="8" spans="1:5" ht="90.75" customHeight="1">
      <c r="A8" s="2" t="s">
        <v>15</v>
      </c>
      <c r="B8" s="3" t="s">
        <v>16</v>
      </c>
      <c r="C8" s="5">
        <v>3</v>
      </c>
      <c r="D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26B7-277E-4F05-8559-D26A18AC3017}">
  <dimension ref="A1:D7"/>
  <sheetViews>
    <sheetView workbookViewId="0">
      <selection activeCell="A5" sqref="A5:D5"/>
    </sheetView>
  </sheetViews>
  <sheetFormatPr defaultRowHeight="15"/>
  <cols>
    <col min="1" max="1" width="39" customWidth="1"/>
    <col min="2" max="2" width="18.5703125" customWidth="1"/>
    <col min="3" max="3" width="17.85546875" customWidth="1"/>
    <col min="4" max="4" width="19.85546875" customWidth="1"/>
  </cols>
  <sheetData>
    <row r="1" spans="1:4">
      <c r="A1" s="4" t="s">
        <v>17</v>
      </c>
      <c r="B1" s="4" t="s">
        <v>18</v>
      </c>
      <c r="C1" s="4" t="s">
        <v>19</v>
      </c>
      <c r="D1" s="4" t="s">
        <v>20</v>
      </c>
    </row>
    <row r="2" spans="1:4">
      <c r="A2" t="s">
        <v>21</v>
      </c>
      <c r="B2">
        <v>1000</v>
      </c>
      <c r="C2">
        <v>5000</v>
      </c>
      <c r="D2">
        <v>20000</v>
      </c>
    </row>
    <row r="3" spans="1:4">
      <c r="A3" t="s">
        <v>13</v>
      </c>
      <c r="B3">
        <v>2</v>
      </c>
      <c r="C3">
        <v>3</v>
      </c>
      <c r="D3">
        <v>5</v>
      </c>
    </row>
    <row r="4" spans="1:4">
      <c r="A4" t="s">
        <v>22</v>
      </c>
      <c r="B4">
        <v>20</v>
      </c>
      <c r="C4">
        <v>150</v>
      </c>
      <c r="D4">
        <v>1000</v>
      </c>
    </row>
    <row r="5" spans="1:4">
      <c r="A5" t="s">
        <v>23</v>
      </c>
      <c r="B5" s="14">
        <v>1.45</v>
      </c>
      <c r="C5" s="14">
        <v>2.99</v>
      </c>
      <c r="D5" s="14">
        <v>5.99</v>
      </c>
    </row>
    <row r="6" spans="1:4">
      <c r="A6" t="s">
        <v>24</v>
      </c>
      <c r="B6" s="14">
        <f>B4*B5</f>
        <v>29</v>
      </c>
      <c r="C6" s="14">
        <f>C4*C5</f>
        <v>448.50000000000006</v>
      </c>
      <c r="D6" s="14">
        <f>D4*D5</f>
        <v>5990</v>
      </c>
    </row>
    <row r="7" spans="1:4">
      <c r="A7" t="s">
        <v>25</v>
      </c>
      <c r="B7" s="14">
        <f>B6*12</f>
        <v>348</v>
      </c>
      <c r="C7" s="14">
        <f>C6*12</f>
        <v>5382.0000000000009</v>
      </c>
      <c r="D7" s="14">
        <f>D6*12</f>
        <v>71880</v>
      </c>
    </row>
  </sheetData>
  <conditionalFormatting sqref="A1:D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6E25-F835-45F8-8104-1683B8139C8F}">
  <dimension ref="A1:D10"/>
  <sheetViews>
    <sheetView workbookViewId="0">
      <selection activeCell="C4" sqref="C4"/>
    </sheetView>
  </sheetViews>
  <sheetFormatPr defaultRowHeight="15"/>
  <cols>
    <col min="1" max="1" width="40.140625" customWidth="1"/>
    <col min="2" max="2" width="21.140625" customWidth="1"/>
    <col min="3" max="3" width="27.5703125" customWidth="1"/>
    <col min="4" max="4" width="22.42578125" customWidth="1"/>
  </cols>
  <sheetData>
    <row r="1" spans="1:4" ht="28.5" customHeight="1">
      <c r="B1" s="4" t="s">
        <v>18</v>
      </c>
      <c r="C1" s="4" t="s">
        <v>19</v>
      </c>
      <c r="D1" s="4" t="s">
        <v>20</v>
      </c>
    </row>
    <row r="2" spans="1:4" ht="35.25" customHeight="1">
      <c r="A2" s="9" t="s">
        <v>26</v>
      </c>
      <c r="B2">
        <f>'Hypothèses de coûts'!B2</f>
        <v>1000</v>
      </c>
      <c r="C2">
        <f>'Hypothèses de coûts'!C2</f>
        <v>5000</v>
      </c>
      <c r="D2">
        <f>'Hypothèses de coûts'!D2</f>
        <v>20000</v>
      </c>
    </row>
    <row r="3" spans="1:4" ht="26.25" customHeight="1">
      <c r="A3" s="10" t="s">
        <v>27</v>
      </c>
      <c r="B3">
        <f>'Hypothèses de coûts'!B4</f>
        <v>20</v>
      </c>
      <c r="C3">
        <f>'Hypothèses de coûts'!C4</f>
        <v>150</v>
      </c>
      <c r="D3">
        <f>'Hypothèses de coûts'!D4</f>
        <v>1000</v>
      </c>
    </row>
    <row r="4" spans="1:4" ht="38.25" customHeight="1">
      <c r="A4" t="s">
        <v>23</v>
      </c>
      <c r="B4" s="14">
        <v>1.45</v>
      </c>
      <c r="C4" s="22">
        <v>2.99</v>
      </c>
      <c r="D4" s="14">
        <v>5.99</v>
      </c>
    </row>
    <row r="5" spans="1:4" ht="29.25" customHeight="1">
      <c r="A5" s="12" t="s">
        <v>28</v>
      </c>
      <c r="B5" s="14">
        <f>B4*B3</f>
        <v>29</v>
      </c>
      <c r="C5" s="14">
        <f t="shared" ref="C5:D5" si="0">C4*C3</f>
        <v>448.50000000000006</v>
      </c>
      <c r="D5" s="14">
        <f t="shared" si="0"/>
        <v>5990</v>
      </c>
    </row>
    <row r="10" spans="1:4">
      <c r="A10" s="11"/>
      <c r="B10" s="21"/>
      <c r="C10" s="10"/>
    </row>
  </sheetData>
  <conditionalFormatting sqref="B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:D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DC99-D2E8-4EA7-8D41-32958F9C7773}">
  <dimension ref="A1:D14"/>
  <sheetViews>
    <sheetView tabSelected="1" workbookViewId="0">
      <selection activeCell="A9" sqref="A9"/>
    </sheetView>
  </sheetViews>
  <sheetFormatPr defaultRowHeight="15"/>
  <cols>
    <col min="1" max="1" width="26" customWidth="1"/>
    <col min="2" max="2" width="24.42578125" customWidth="1"/>
    <col min="3" max="3" width="20.7109375" customWidth="1"/>
    <col min="4" max="4" width="21.85546875" customWidth="1"/>
  </cols>
  <sheetData>
    <row r="1" spans="1:4" ht="32.25" customHeight="1">
      <c r="A1" s="13" t="s">
        <v>29</v>
      </c>
      <c r="B1" s="15" t="s">
        <v>30</v>
      </c>
      <c r="C1" s="16" t="s">
        <v>31</v>
      </c>
      <c r="D1" s="17" t="s">
        <v>32</v>
      </c>
    </row>
    <row r="2" spans="1:4" ht="28.5" customHeight="1">
      <c r="A2" t="s">
        <v>21</v>
      </c>
      <c r="B2">
        <f>'Hypothèses de coûts'!B2</f>
        <v>1000</v>
      </c>
      <c r="C2">
        <f>'Hypothèses de coûts'!C2</f>
        <v>5000</v>
      </c>
      <c r="D2">
        <f>'Hypothèses de coûts'!D2</f>
        <v>20000</v>
      </c>
    </row>
    <row r="3" spans="1:4" ht="24" customHeight="1">
      <c r="A3" t="s">
        <v>13</v>
      </c>
      <c r="B3">
        <f>'Hypothèses de coûts'!B3</f>
        <v>2</v>
      </c>
      <c r="C3">
        <f>'Hypothèses de coûts'!C3</f>
        <v>3</v>
      </c>
      <c r="D3">
        <f>'Hypothèses de coûts'!D3</f>
        <v>5</v>
      </c>
    </row>
    <row r="4" spans="1:4" ht="21.75" customHeight="1">
      <c r="A4" t="s">
        <v>27</v>
      </c>
      <c r="B4">
        <f>'Hypothèses de coûts'!B4</f>
        <v>20</v>
      </c>
      <c r="C4">
        <f>'Hypothèses de coûts'!C4</f>
        <v>150</v>
      </c>
      <c r="D4">
        <f>'Hypothèses de coûts'!D4</f>
        <v>1000</v>
      </c>
    </row>
    <row r="5" spans="1:4" ht="22.5" customHeight="1">
      <c r="A5" t="s">
        <v>33</v>
      </c>
      <c r="B5">
        <f>'Hypothèses de coûts'!B5</f>
        <v>1.45</v>
      </c>
      <c r="C5">
        <f>'Hypothèses de coûts'!C5</f>
        <v>2.99</v>
      </c>
      <c r="D5">
        <f>'Hypothèses de coûts'!D5</f>
        <v>5.99</v>
      </c>
    </row>
    <row r="6" spans="1:4" ht="26.25" customHeight="1">
      <c r="A6" s="13" t="s">
        <v>34</v>
      </c>
      <c r="B6">
        <f>B4*B5</f>
        <v>29</v>
      </c>
      <c r="C6">
        <f t="shared" ref="C6:D6" si="0">C4*C5</f>
        <v>448.50000000000006</v>
      </c>
      <c r="D6">
        <f t="shared" si="0"/>
        <v>5990</v>
      </c>
    </row>
    <row r="7" spans="1:4" ht="26.25" customHeight="1">
      <c r="A7" s="13" t="s">
        <v>35</v>
      </c>
      <c r="B7">
        <f>B6*12</f>
        <v>348</v>
      </c>
      <c r="C7">
        <f t="shared" ref="C7:D7" si="1">C6*12</f>
        <v>5382.0000000000009</v>
      </c>
      <c r="D7">
        <f t="shared" si="1"/>
        <v>71880</v>
      </c>
    </row>
    <row r="8" spans="1:4" ht="36.75" customHeight="1">
      <c r="A8" s="18" t="s">
        <v>36</v>
      </c>
      <c r="B8">
        <v>25</v>
      </c>
      <c r="C8">
        <v>18</v>
      </c>
      <c r="D8">
        <v>12</v>
      </c>
    </row>
    <row r="9" spans="1:4" ht="25.5" customHeight="1">
      <c r="A9" t="s">
        <v>37</v>
      </c>
      <c r="B9" s="14">
        <v>8750</v>
      </c>
      <c r="C9" s="14">
        <v>6300</v>
      </c>
      <c r="D9" s="14">
        <v>4200</v>
      </c>
    </row>
    <row r="10" spans="1:4" ht="24" customHeight="1">
      <c r="A10" t="s">
        <v>38</v>
      </c>
      <c r="B10" s="14">
        <v>300</v>
      </c>
      <c r="C10" s="14">
        <v>700</v>
      </c>
      <c r="D10" s="14">
        <v>1750</v>
      </c>
    </row>
    <row r="11" spans="1:4" ht="24" customHeight="1">
      <c r="A11" t="s">
        <v>39</v>
      </c>
      <c r="B11" s="14">
        <v>50</v>
      </c>
      <c r="C11" s="14">
        <v>250</v>
      </c>
      <c r="D11" s="14">
        <v>1000</v>
      </c>
    </row>
    <row r="12" spans="1:4" ht="27.75" customHeight="1">
      <c r="A12" t="s">
        <v>40</v>
      </c>
      <c r="B12" s="14">
        <f>B10+B11+B9</f>
        <v>9100</v>
      </c>
      <c r="C12" s="14">
        <f t="shared" ref="C12:D12" si="2">C10+C11+C9</f>
        <v>7250</v>
      </c>
      <c r="D12" s="14">
        <f t="shared" si="2"/>
        <v>6950</v>
      </c>
    </row>
    <row r="13" spans="1:4" ht="29.25" customHeight="1">
      <c r="A13" t="s">
        <v>41</v>
      </c>
      <c r="B13" s="14">
        <f>B7-B12</f>
        <v>-8752</v>
      </c>
      <c r="C13" s="14">
        <f>C7-C12</f>
        <v>-1867.9999999999991</v>
      </c>
      <c r="D13" s="14">
        <f>D7-D12</f>
        <v>64930</v>
      </c>
    </row>
    <row r="14" spans="1:4">
      <c r="A14" t="s">
        <v>42</v>
      </c>
      <c r="B14" s="20">
        <f>(B13/B12)</f>
        <v>-0.96175824175824176</v>
      </c>
      <c r="C14" s="20">
        <f t="shared" ref="C14:D14" si="3">(C13/C12)</f>
        <v>-0.25765517241379299</v>
      </c>
      <c r="D14" s="20">
        <f t="shared" si="3"/>
        <v>9.3424460431654683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D2DD-A592-4172-B775-EFEA56754929}">
  <dimension ref="A1:D8"/>
  <sheetViews>
    <sheetView workbookViewId="0"/>
  </sheetViews>
  <sheetFormatPr defaultRowHeight="15"/>
  <cols>
    <col min="1" max="1" width="40.7109375" customWidth="1"/>
    <col min="2" max="2" width="54.42578125" customWidth="1"/>
    <col min="3" max="3" width="18.140625" customWidth="1"/>
    <col min="4" max="4" width="48.140625" customWidth="1"/>
  </cols>
  <sheetData>
    <row r="1" spans="1:4">
      <c r="A1" s="1" t="s">
        <v>0</v>
      </c>
      <c r="B1" s="1" t="s">
        <v>1</v>
      </c>
      <c r="C1" s="1" t="s">
        <v>43</v>
      </c>
      <c r="D1" s="1" t="s">
        <v>44</v>
      </c>
    </row>
    <row r="2" spans="1:4" ht="76.5" customHeight="1">
      <c r="A2" s="2" t="s">
        <v>7</v>
      </c>
      <c r="B2" s="18" t="s">
        <v>45</v>
      </c>
      <c r="C2" s="5" t="s">
        <v>46</v>
      </c>
      <c r="D2" s="18" t="s">
        <v>47</v>
      </c>
    </row>
    <row r="3" spans="1:4" ht="72.75" customHeight="1">
      <c r="A3" s="13" t="s">
        <v>48</v>
      </c>
      <c r="B3" s="18" t="s">
        <v>49</v>
      </c>
      <c r="C3" s="6" t="s">
        <v>50</v>
      </c>
      <c r="D3" s="18" t="s">
        <v>51</v>
      </c>
    </row>
    <row r="4" spans="1:4" ht="62.25" customHeight="1">
      <c r="A4" s="13" t="s">
        <v>52</v>
      </c>
      <c r="B4" s="3" t="s">
        <v>53</v>
      </c>
      <c r="C4" s="6" t="s">
        <v>54</v>
      </c>
      <c r="D4" s="18" t="s">
        <v>55</v>
      </c>
    </row>
    <row r="5" spans="1:4" ht="84.75" customHeight="1">
      <c r="A5" s="13" t="s">
        <v>15</v>
      </c>
      <c r="B5" s="18" t="s">
        <v>56</v>
      </c>
      <c r="C5" s="19" t="s">
        <v>57</v>
      </c>
      <c r="D5" s="18" t="s">
        <v>58</v>
      </c>
    </row>
    <row r="6" spans="1:4" ht="67.5" customHeight="1">
      <c r="A6" s="13"/>
      <c r="B6" s="18"/>
      <c r="C6" s="7"/>
    </row>
    <row r="7" spans="1:4">
      <c r="A7" s="2"/>
      <c r="B7" s="3"/>
      <c r="C7" s="6"/>
    </row>
    <row r="8" spans="1:4">
      <c r="A8" s="2"/>
      <c r="B8" s="3"/>
      <c r="C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2026-09-15T13:02:27Z</dcterms:created>
  <dcterms:modified xsi:type="dcterms:W3CDTF">2026-09-17T14:14:11Z</dcterms:modified>
  <cp:category/>
  <cp:contentStatus/>
</cp:coreProperties>
</file>